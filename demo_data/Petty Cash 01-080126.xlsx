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Finance\Finance\Statement\statement  Odoo\"/>
    </mc:Choice>
  </mc:AlternateContent>
  <xr:revisionPtr revIDLastSave="0" documentId="8_{7A32D21D-E0E8-4553-B2DB-4B7AB1F2AE0E}" xr6:coauthVersionLast="47" xr6:coauthVersionMax="47" xr10:uidLastSave="{00000000-0000-0000-0000-000000000000}"/>
  <bookViews>
    <workbookView xWindow="1155" yWindow="45" windowWidth="15225" windowHeight="15435" xr2:uid="{00000000-000D-0000-FFFF-FFFF00000000}"/>
  </bookViews>
  <sheets>
    <sheet name="0126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Yk11MEJu6NJEWzi0QcMAvleMMq/IhlmJVx1aAlZrqGI="/>
    </ext>
  </extLst>
</workbook>
</file>

<file path=xl/calcChain.xml><?xml version="1.0" encoding="utf-8"?>
<calcChain xmlns="http://schemas.openxmlformats.org/spreadsheetml/2006/main">
  <c r="E23" i="3" l="1"/>
  <c r="E41" i="3" l="1"/>
  <c r="D41" i="3"/>
  <c r="F5" i="3" l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/>
</calcChain>
</file>

<file path=xl/sharedStrings.xml><?xml version="1.0" encoding="utf-8"?>
<sst xmlns="http://schemas.openxmlformats.org/spreadsheetml/2006/main" count="46" uniqueCount="38">
  <si>
    <t>บริษัท ปัญญารักษา จำกัด</t>
  </si>
  <si>
    <t>ยอดยกมา</t>
  </si>
  <si>
    <t>Total</t>
  </si>
  <si>
    <t>รายละเอียดเงินสดย่อย ประจำเดือนธันวาคม 2568</t>
  </si>
  <si>
    <t>จ่าย กยศ./กรอ. ประจำเดือน 12/2025 (3คน) บิล 157918960141002</t>
  </si>
  <si>
    <t>รับเงิน BML (ผลต่าง Salary 12/2025 )</t>
  </si>
  <si>
    <t>จ่าย กรมสรรพากร (ค่าอากรแสตมป์ ดวงละ 5 บาท 40ดวง)</t>
  </si>
  <si>
    <t>จ่าย บจ.ไปรษณีย์ไทย ( ค่าส่งเอกสาร GS,จิรเจริญ, P&amp;S  อื่นๆ  ) Ref.No.46533</t>
  </si>
  <si>
    <t>จ่าย บจ.พงศ์สันติการบัญชี(คุณเพียงพรรณ  พิฤทธิ์บูรณะ Internal Audit Fee &amp; Auditor Accountant 12/2025)</t>
  </si>
  <si>
    <t>จ่าย นิติบุคคลสมาร์ท คอนโด(ค่าน้ำประปา 36 บ.+ค่าที่จอดรถ 100 บ. ประจำเดือน 12/25) ใบแจ้งหนี้ 68/12/049</t>
  </si>
  <si>
    <t>จ่าย บจ.ไปรษณีย์ไทย ( ค่าส่งเอกสาร GS  ) Ref.No.49961</t>
  </si>
  <si>
    <t>รับเงินสด</t>
  </si>
  <si>
    <t>จ่ายการไฟฟ้านครหลวง(ค่าไฟฟ้า สมาร์ทคอนโด  12/25 ใช้ไป 43 หน่วย เลขจดหลัง 9720) ใบแจ้งหนี้ 00806006259</t>
  </si>
  <si>
    <t>จ่าย บจ.โตชิบาเทค(ค่าหมึกเครื่องถ่ายเอกสาร งวด 10/11-09/12/25) ใบแจ้งหนี้ IS2512T1047</t>
  </si>
  <si>
    <t>จ่าย บจ.ร่วมพัฒนากิจ (ค่าเช่า 12/2025 หักงด.พม่า 5 คนๆละ500 บาท)</t>
  </si>
  <si>
    <t>จ่าย บมจ.โทรคมนาคมแห่งชาติ (ค่าโทรศัพท์ รอบ 11/12/68 - 10/01/69 ประจำเดือน 12/2568) Ref.No.B00150052594</t>
  </si>
  <si>
    <t>จ่าย บมจ.ทริปเปิลที บรอดแบนด์ (ค่าโทรศัพท์ รอบ 11/12/68 - 10/01/69 ประจำเดือน 12/2568) Ref.No.DRCPV03BKKCB/2601/0214</t>
  </si>
  <si>
    <t>จ่าย ของขวัญวันเด็ก ปี 2569 รร.ทุ่งนานางหรอก/ รร.บ้านวังด้ง/รร.วัดลาดหญ้ากาญจนบุรี/รร.วัดกาญจนบุรีเก่า @3,000.-และ ศูนย์เด็กเล็ก @2,000.-</t>
  </si>
  <si>
    <t>จ่าย  เงินสดย่อยโรงงาน CPOKAN6901003(84+350+860+1070+1455.2+642+470.8+214+1027.2+1356+856)</t>
  </si>
  <si>
    <t>Date</t>
  </si>
  <si>
    <t>Label</t>
  </si>
  <si>
    <t>Credit</t>
  </si>
  <si>
    <t>Debit</t>
  </si>
  <si>
    <t>Balance</t>
  </si>
  <si>
    <t>Details</t>
  </si>
  <si>
    <t>ฉินอี่กี่</t>
  </si>
  <si>
    <t>ศรีฟ้าโฟรเซนฟู้ด  CPOKAN6901003</t>
  </si>
  <si>
    <t>เอกวนิชฟาร์ม่า  CPOKAN6901003</t>
  </si>
  <si>
    <t>ธนกาญจน์แก๊ส CPOKAN6901001</t>
  </si>
  <si>
    <t>ฟลูเฮ้าส์ CPOKAN6901001</t>
  </si>
  <si>
    <t>ลาดหญ้าค้าส่ง CPOKAN6901001</t>
  </si>
  <si>
    <t>ฉินอี่กี่  CPOKAN6901002</t>
  </si>
  <si>
    <t>สยาม บิลด์อิท CPOKAN6901002</t>
  </si>
  <si>
    <t>ซีพีแอ๊กซ์ตร้า CPOKAN6901002</t>
  </si>
  <si>
    <t>ยูนิตี้ ไอที  CPOKAN6901002</t>
  </si>
  <si>
    <t>สยาม บิลด์อิท CPOKAN6901003</t>
  </si>
  <si>
    <t>สยาม บิลด์อิท  CPOKAN6901003</t>
  </si>
  <si>
    <t>ธนกาญจน์แก๊ส  CPOKAN6901003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</si>
</sst>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d\-mmm\-yy;@"/>
  </numFmts>
  <fonts count="11" x14ac:knownFonts="1">
    <font>
      <sz val="11"/>
      <color theme="1"/>
      <name val="Aptos Narrow"/>
      <scheme val="minor"/>
    </font>
    <font>
      <sz val="11"/>
      <name val="Aptos Narrow"/>
      <family val="2"/>
    </font>
    <font>
      <b/>
      <sz val="14"/>
      <color theme="1"/>
      <name val="AngsanaUPC"/>
      <family val="1"/>
    </font>
    <font>
      <sz val="14"/>
      <color theme="1"/>
      <name val="AngsanaUPC"/>
      <family val="1"/>
    </font>
    <font>
      <sz val="12"/>
      <color theme="1"/>
      <name val="AngsanaUPC"/>
      <family val="1"/>
    </font>
    <font>
      <sz val="14"/>
      <color rgb="FF000000"/>
      <name val="AngsanaUPC"/>
      <family val="1"/>
    </font>
    <font>
      <b/>
      <sz val="16"/>
      <color theme="1"/>
      <name val="AngsanaUPC"/>
      <family val="1"/>
    </font>
    <font>
      <sz val="11"/>
      <color theme="1"/>
      <name val="Aptos Narrow"/>
      <scheme val="minor"/>
    </font>
    <font>
      <sz val="14"/>
      <color theme="1"/>
      <name val="Angsana New"/>
      <family val="2"/>
      <charset val="222"/>
    </font>
    <font>
      <sz val="14"/>
      <name val="Angsana New"/>
      <family val="2"/>
      <charset val="222"/>
    </font>
    <font>
      <sz val="13"/>
      <name val="Angsana New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43" fontId="2" fillId="0" borderId="1" xfId="0" applyNumberFormat="1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43" fontId="3" fillId="0" borderId="1" xfId="0" applyNumberFormat="1" applyFont="1" applyBorder="1"/>
    <xf numFmtId="0" fontId="4" fillId="0" borderId="1" xfId="0" applyFont="1" applyBorder="1" applyAlignment="1">
      <alignment wrapText="1"/>
    </xf>
    <xf numFmtId="43" fontId="3" fillId="2" borderId="1" xfId="0" applyNumberFormat="1" applyFont="1" applyFill="1" applyBorder="1"/>
    <xf numFmtId="0" fontId="3" fillId="0" borderId="1" xfId="0" applyFont="1" applyBorder="1" applyAlignment="1">
      <alignment wrapText="1"/>
    </xf>
    <xf numFmtId="43" fontId="3" fillId="0" borderId="0" xfId="0" applyNumberFormat="1" applyFont="1"/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2" fillId="0" borderId="0" xfId="0" applyFont="1" applyAlignment="1">
      <alignment vertical="center"/>
    </xf>
    <xf numFmtId="43" fontId="6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43" fontId="3" fillId="0" borderId="0" xfId="0" applyNumberFormat="1" applyFont="1" applyAlignment="1">
      <alignment vertical="center"/>
    </xf>
    <xf numFmtId="164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4" fontId="0" fillId="0" borderId="0" xfId="0" applyNumberFormat="1"/>
    <xf numFmtId="0" fontId="8" fillId="0" borderId="4" xfId="0" applyFont="1" applyBorder="1"/>
    <xf numFmtId="43" fontId="8" fillId="0" borderId="5" xfId="1" applyFont="1" applyBorder="1" applyAlignment="1">
      <alignment horizontal="center"/>
    </xf>
    <xf numFmtId="43" fontId="9" fillId="0" borderId="5" xfId="1" applyFont="1" applyBorder="1" applyAlignment="1">
      <alignment horizontal="center"/>
    </xf>
    <xf numFmtId="0" fontId="8" fillId="0" borderId="6" xfId="0" applyFont="1" applyBorder="1"/>
    <xf numFmtId="43" fontId="8" fillId="3" borderId="5" xfId="1" applyFont="1" applyFill="1" applyBorder="1" applyAlignment="1">
      <alignment horizontal="center"/>
    </xf>
    <xf numFmtId="43" fontId="9" fillId="3" borderId="5" xfId="1" applyFont="1" applyFill="1" applyBorder="1" applyAlignment="1">
      <alignment horizontal="center"/>
    </xf>
    <xf numFmtId="43" fontId="10" fillId="3" borderId="5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6" fillId="0" borderId="2" xfId="0" applyFont="1" applyBorder="1" applyAlignment="1">
      <alignment horizontal="center" vertical="center"/>
    </xf>
    <xf numFmtId="0" fontId="1" fillId="0" borderId="3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alcChain" Target="calcChain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3DF3-7AB5-43E9-990A-14A217259906}">
  <dimension ref="A1:Z995"/>
  <sheetViews>
    <sheetView tabSelected="1" topLeftCell="A19" workbookViewId="0">
      <selection activeCell="C50" sqref="C50"/>
    </sheetView>
  </sheetViews>
  <sheetFormatPr defaultColWidth="12.5703125" defaultRowHeight="15" customHeight="1" x14ac:dyDescent="0.25"/>
  <cols>
    <col min="1" max="1" width="1.5703125" customWidth="1"/>
    <col min="2" max="2" width="9.7109375" style="22" customWidth="1"/>
    <col min="3" max="3" width="70.5703125" customWidth="1"/>
    <col min="4" max="4" width="12.42578125" customWidth="1"/>
    <col min="5" max="5" width="11.7109375" customWidth="1"/>
    <col min="6" max="6" width="12.28515625" customWidth="1"/>
    <col min="7" max="7" width="10" customWidth="1"/>
    <col min="8" max="26" width="8.5703125" customWidth="1"/>
  </cols>
  <sheetData>
    <row r="1" spans="1:26" ht="24.75" customHeight="1" x14ac:dyDescent="0.45">
      <c r="A1" s="1"/>
      <c r="B1" s="30" t="s">
        <v>0</v>
      </c>
      <c r="C1" s="31"/>
      <c r="D1" s="31"/>
      <c r="E1" s="31"/>
      <c r="F1" s="31"/>
      <c r="G1" s="3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75" customHeight="1" x14ac:dyDescent="0.45">
      <c r="A2" s="1"/>
      <c r="B2" s="30" t="s">
        <v>3</v>
      </c>
      <c r="C2" s="31"/>
      <c r="D2" s="31"/>
      <c r="E2" s="31"/>
      <c r="F2" s="31"/>
      <c r="G2" s="3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.75" customHeight="1" x14ac:dyDescent="0.45">
      <c r="A3" s="2"/>
      <c r="B3" s="18" t="s">
        <v>19</v>
      </c>
      <c r="C3" s="3" t="s">
        <v>20</v>
      </c>
      <c r="D3" s="4" t="s">
        <v>21</v>
      </c>
      <c r="E3" s="4" t="s">
        <v>22</v>
      </c>
      <c r="F3" s="4" t="s">
        <v>23</v>
      </c>
      <c r="G3" s="3" t="s">
        <v>24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.75" customHeight="1" x14ac:dyDescent="0.45">
      <c r="A4" s="5"/>
      <c r="B4" s="19">
        <v>46023</v>
      </c>
      <c r="C4" s="6" t="s">
        <v>1</v>
      </c>
      <c r="D4" s="7"/>
      <c r="E4" s="7"/>
      <c r="F4" s="7">
        <v>74579.039999999994</v>
      </c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1.95" customHeight="1" x14ac:dyDescent="0.45">
      <c r="A5" s="5"/>
      <c r="B5" s="19">
        <v>46027</v>
      </c>
      <c r="C5" s="10" t="s">
        <v>4</v>
      </c>
      <c r="D5" s="9"/>
      <c r="E5" s="9">
        <v>3000</v>
      </c>
      <c r="F5" s="7">
        <f>+F4+D5-E5</f>
        <v>71579.039999999994</v>
      </c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1.95" customHeight="1" x14ac:dyDescent="0.45">
      <c r="A6" s="5"/>
      <c r="B6" s="19">
        <v>46027</v>
      </c>
      <c r="C6" s="10" t="s">
        <v>5</v>
      </c>
      <c r="D6" s="7">
        <v>265953</v>
      </c>
      <c r="E6" s="7"/>
      <c r="F6" s="7">
        <f t="shared" ref="F6:F40" si="0">+F5+D6-E6</f>
        <v>337532.04</v>
      </c>
      <c r="G6" s="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1.95" customHeight="1" x14ac:dyDescent="0.45">
      <c r="A7" s="5"/>
      <c r="B7" s="19">
        <v>46027</v>
      </c>
      <c r="C7" s="8" t="s">
        <v>6</v>
      </c>
      <c r="D7" s="7"/>
      <c r="E7" s="7">
        <v>200</v>
      </c>
      <c r="F7" s="7">
        <f t="shared" si="0"/>
        <v>337332.04</v>
      </c>
      <c r="G7" s="6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.95" customHeight="1" x14ac:dyDescent="0.45">
      <c r="A8" s="5"/>
      <c r="B8" s="19">
        <v>46027</v>
      </c>
      <c r="C8" s="8" t="s">
        <v>7</v>
      </c>
      <c r="D8" s="7"/>
      <c r="E8" s="7">
        <v>157</v>
      </c>
      <c r="F8" s="7">
        <f t="shared" si="0"/>
        <v>337175.03999999998</v>
      </c>
      <c r="G8" s="6"/>
      <c r="H8" s="5"/>
      <c r="I8" s="5"/>
      <c r="J8" s="11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1.95" customHeight="1" x14ac:dyDescent="0.45">
      <c r="A9" s="5"/>
      <c r="B9" s="19">
        <v>46027</v>
      </c>
      <c r="C9" s="23" t="s">
        <v>28</v>
      </c>
      <c r="D9" s="7"/>
      <c r="E9" s="24">
        <v>1365</v>
      </c>
      <c r="F9" s="7">
        <f t="shared" si="0"/>
        <v>335810.04</v>
      </c>
      <c r="G9" s="6"/>
      <c r="H9" s="5"/>
      <c r="I9" s="5"/>
      <c r="J9" s="11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1.95" customHeight="1" x14ac:dyDescent="0.45">
      <c r="A10" s="5"/>
      <c r="B10" s="19">
        <v>46027</v>
      </c>
      <c r="C10" s="23" t="s">
        <v>28</v>
      </c>
      <c r="D10" s="7"/>
      <c r="E10" s="24">
        <v>413</v>
      </c>
      <c r="F10" s="7">
        <f t="shared" si="0"/>
        <v>335397.03999999998</v>
      </c>
      <c r="G10" s="6"/>
      <c r="H10" s="5"/>
      <c r="I10" s="5"/>
      <c r="J10" s="11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1.95" customHeight="1" x14ac:dyDescent="0.45">
      <c r="A11" s="5"/>
      <c r="B11" s="19">
        <v>46027</v>
      </c>
      <c r="C11" s="23" t="s">
        <v>29</v>
      </c>
      <c r="D11" s="7"/>
      <c r="E11" s="24">
        <v>4680</v>
      </c>
      <c r="F11" s="7">
        <f t="shared" si="0"/>
        <v>330717.03999999998</v>
      </c>
      <c r="G11" s="6"/>
      <c r="H11" s="5"/>
      <c r="I11" s="5"/>
      <c r="J11" s="11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1.95" customHeight="1" x14ac:dyDescent="0.45">
      <c r="A12" s="5"/>
      <c r="B12" s="19">
        <v>46027</v>
      </c>
      <c r="C12" s="23" t="s">
        <v>29</v>
      </c>
      <c r="D12" s="7"/>
      <c r="E12" s="25">
        <v>420</v>
      </c>
      <c r="F12" s="7">
        <f t="shared" si="0"/>
        <v>330297.03999999998</v>
      </c>
      <c r="G12" s="6"/>
      <c r="H12" s="5"/>
      <c r="I12" s="5"/>
      <c r="J12" s="11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1.95" customHeight="1" x14ac:dyDescent="0.45">
      <c r="A13" s="5"/>
      <c r="B13" s="19">
        <v>46027</v>
      </c>
      <c r="C13" s="23" t="s">
        <v>30</v>
      </c>
      <c r="D13" s="7"/>
      <c r="E13" s="25">
        <v>1250</v>
      </c>
      <c r="F13" s="7">
        <f t="shared" si="0"/>
        <v>329047.03999999998</v>
      </c>
      <c r="G13" s="6"/>
      <c r="H13" s="5"/>
      <c r="I13" s="5"/>
      <c r="J13" s="11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1.95" customHeight="1" x14ac:dyDescent="0.45">
      <c r="A14" s="5"/>
      <c r="B14" s="19">
        <v>46028</v>
      </c>
      <c r="C14" s="8" t="s">
        <v>11</v>
      </c>
      <c r="D14" s="7">
        <v>100000</v>
      </c>
      <c r="E14" s="7"/>
      <c r="F14" s="7">
        <f t="shared" si="0"/>
        <v>429047.03999999998</v>
      </c>
      <c r="G14" s="6"/>
      <c r="H14" s="5"/>
      <c r="I14" s="5"/>
      <c r="J14" s="11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1.95" customHeight="1" x14ac:dyDescent="0.45">
      <c r="A15" s="5"/>
      <c r="B15" s="19">
        <v>46028</v>
      </c>
      <c r="C15" s="8" t="s">
        <v>8</v>
      </c>
      <c r="D15" s="7"/>
      <c r="E15" s="7">
        <v>70000</v>
      </c>
      <c r="F15" s="7">
        <f t="shared" si="0"/>
        <v>359047.04</v>
      </c>
      <c r="G15" s="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41.25" customHeight="1" x14ac:dyDescent="0.45">
      <c r="A16" s="5"/>
      <c r="B16" s="19">
        <v>46028</v>
      </c>
      <c r="C16" s="10" t="s">
        <v>9</v>
      </c>
      <c r="D16" s="7"/>
      <c r="E16" s="7">
        <v>136</v>
      </c>
      <c r="F16" s="7">
        <f t="shared" si="0"/>
        <v>358911.04</v>
      </c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1" customHeight="1" x14ac:dyDescent="0.45">
      <c r="A17" s="5"/>
      <c r="B17" s="19">
        <v>46028</v>
      </c>
      <c r="C17" s="23" t="s">
        <v>31</v>
      </c>
      <c r="D17" s="7"/>
      <c r="E17" s="24">
        <v>684.8</v>
      </c>
      <c r="F17" s="7">
        <f t="shared" si="0"/>
        <v>358226.24</v>
      </c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1" customHeight="1" x14ac:dyDescent="0.45">
      <c r="A18" s="5"/>
      <c r="B18" s="19">
        <v>46028</v>
      </c>
      <c r="C18" s="23" t="s">
        <v>32</v>
      </c>
      <c r="D18" s="7"/>
      <c r="E18" s="24">
        <v>428</v>
      </c>
      <c r="F18" s="7">
        <f t="shared" si="0"/>
        <v>357798.24</v>
      </c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1" customHeight="1" x14ac:dyDescent="0.45">
      <c r="A19" s="5"/>
      <c r="B19" s="19">
        <v>46028</v>
      </c>
      <c r="C19" s="23" t="s">
        <v>32</v>
      </c>
      <c r="D19" s="7"/>
      <c r="E19" s="24">
        <v>1070</v>
      </c>
      <c r="F19" s="7">
        <f t="shared" si="0"/>
        <v>356728.24</v>
      </c>
      <c r="G19" s="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" customHeight="1" x14ac:dyDescent="0.45">
      <c r="A20" s="5"/>
      <c r="B20" s="19">
        <v>46028</v>
      </c>
      <c r="C20" s="23" t="s">
        <v>28</v>
      </c>
      <c r="D20" s="7"/>
      <c r="E20" s="24">
        <v>1356</v>
      </c>
      <c r="F20" s="7">
        <f t="shared" si="0"/>
        <v>355372.24</v>
      </c>
      <c r="G20" s="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1" customHeight="1" x14ac:dyDescent="0.45">
      <c r="A21" s="5"/>
      <c r="B21" s="19">
        <v>46028</v>
      </c>
      <c r="C21" s="23" t="s">
        <v>33</v>
      </c>
      <c r="D21" s="7"/>
      <c r="E21" s="25">
        <v>18480</v>
      </c>
      <c r="F21" s="7">
        <f t="shared" si="0"/>
        <v>336892.24</v>
      </c>
      <c r="G21" s="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1" customHeight="1" x14ac:dyDescent="0.45">
      <c r="A22" s="5"/>
      <c r="B22" s="19">
        <v>46028</v>
      </c>
      <c r="C22" s="23" t="s">
        <v>34</v>
      </c>
      <c r="D22" s="7"/>
      <c r="E22" s="25">
        <v>1900</v>
      </c>
      <c r="F22" s="7">
        <f t="shared" si="0"/>
        <v>334992.24</v>
      </c>
      <c r="G22" s="6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1.95" customHeight="1" x14ac:dyDescent="0.45">
      <c r="A23" s="5"/>
      <c r="B23" s="19">
        <v>46029</v>
      </c>
      <c r="C23" s="13" t="s">
        <v>17</v>
      </c>
      <c r="D23" s="7"/>
      <c r="E23" s="7">
        <f>+(3000*5)+2000</f>
        <v>17000</v>
      </c>
      <c r="F23" s="7">
        <f t="shared" si="0"/>
        <v>317992.24</v>
      </c>
      <c r="G23" s="6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1.95" customHeight="1" x14ac:dyDescent="0.45">
      <c r="A24" s="5"/>
      <c r="B24" s="19">
        <v>46029</v>
      </c>
      <c r="C24" s="8" t="s">
        <v>10</v>
      </c>
      <c r="D24" s="7"/>
      <c r="E24" s="7">
        <v>30</v>
      </c>
      <c r="F24" s="7">
        <f t="shared" si="0"/>
        <v>317962.23999999999</v>
      </c>
      <c r="G24" s="6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43.5" customHeight="1" x14ac:dyDescent="0.45">
      <c r="A25" s="5"/>
      <c r="B25" s="19">
        <v>46030</v>
      </c>
      <c r="C25" s="13" t="s">
        <v>12</v>
      </c>
      <c r="D25" s="7"/>
      <c r="E25" s="7">
        <v>183.03</v>
      </c>
      <c r="F25" s="7">
        <f t="shared" si="0"/>
        <v>317779.20999999996</v>
      </c>
      <c r="G25" s="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1.95" customHeight="1" x14ac:dyDescent="0.45">
      <c r="A26" s="5"/>
      <c r="B26" s="19">
        <v>46030</v>
      </c>
      <c r="C26" s="12" t="s">
        <v>13</v>
      </c>
      <c r="D26" s="7"/>
      <c r="E26" s="7">
        <v>826.6</v>
      </c>
      <c r="F26" s="7">
        <f t="shared" si="0"/>
        <v>316952.61</v>
      </c>
      <c r="G26" s="6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1.95" customHeight="1" x14ac:dyDescent="0.45">
      <c r="A27" s="5"/>
      <c r="B27" s="19">
        <v>46030</v>
      </c>
      <c r="C27" s="10" t="s">
        <v>14</v>
      </c>
      <c r="D27" s="7"/>
      <c r="E27" s="7">
        <v>4000</v>
      </c>
      <c r="F27" s="7">
        <f t="shared" si="0"/>
        <v>312952.61</v>
      </c>
      <c r="G27" s="6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46.5" customHeight="1" x14ac:dyDescent="0.45">
      <c r="A28" s="5"/>
      <c r="B28" s="19">
        <v>46030</v>
      </c>
      <c r="C28" s="10" t="s">
        <v>16</v>
      </c>
      <c r="D28" s="7"/>
      <c r="E28" s="7">
        <v>708</v>
      </c>
      <c r="F28" s="7">
        <f t="shared" si="0"/>
        <v>312244.61</v>
      </c>
      <c r="G28" s="6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48" customHeight="1" x14ac:dyDescent="0.45">
      <c r="A29" s="5"/>
      <c r="B29" s="19">
        <v>46030</v>
      </c>
      <c r="C29" s="10" t="s">
        <v>15</v>
      </c>
      <c r="D29" s="7"/>
      <c r="E29" s="7">
        <v>308</v>
      </c>
      <c r="F29" s="7">
        <f t="shared" si="0"/>
        <v>311936.61</v>
      </c>
      <c r="G29" s="6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1.95" customHeight="1" x14ac:dyDescent="0.45">
      <c r="A30" s="5"/>
      <c r="B30" s="19">
        <v>46030</v>
      </c>
      <c r="C30" s="8" t="s">
        <v>18</v>
      </c>
      <c r="D30" s="7"/>
      <c r="E30" s="27">
        <v>84</v>
      </c>
      <c r="F30" s="7">
        <f t="shared" si="0"/>
        <v>311852.61</v>
      </c>
      <c r="G30" s="6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1.95" customHeight="1" x14ac:dyDescent="0.45">
      <c r="A31" s="5"/>
      <c r="B31" s="19">
        <v>46030</v>
      </c>
      <c r="C31" s="26" t="s">
        <v>26</v>
      </c>
      <c r="D31" s="7"/>
      <c r="E31" s="27">
        <v>350</v>
      </c>
      <c r="F31" s="7">
        <f t="shared" si="0"/>
        <v>311502.61</v>
      </c>
      <c r="G31" s="6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1.95" customHeight="1" x14ac:dyDescent="0.45">
      <c r="A32" s="5"/>
      <c r="B32" s="19">
        <v>46030</v>
      </c>
      <c r="C32" s="23" t="s">
        <v>27</v>
      </c>
      <c r="D32" s="7"/>
      <c r="E32" s="27">
        <v>860</v>
      </c>
      <c r="F32" s="7">
        <f t="shared" si="0"/>
        <v>310642.61</v>
      </c>
      <c r="G32" s="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1.95" customHeight="1" x14ac:dyDescent="0.45">
      <c r="A33" s="5"/>
      <c r="B33" s="19">
        <v>46030</v>
      </c>
      <c r="C33" s="23" t="s">
        <v>35</v>
      </c>
      <c r="D33" s="7"/>
      <c r="E33" s="27">
        <v>1070</v>
      </c>
      <c r="F33" s="7">
        <f t="shared" si="0"/>
        <v>309572.61</v>
      </c>
      <c r="G33" s="6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1.95" customHeight="1" x14ac:dyDescent="0.45">
      <c r="A34" s="5"/>
      <c r="B34" s="19">
        <v>46030</v>
      </c>
      <c r="C34" s="23" t="s">
        <v>35</v>
      </c>
      <c r="D34" s="7"/>
      <c r="E34" s="28">
        <v>1455.2</v>
      </c>
      <c r="F34" s="7">
        <f t="shared" si="0"/>
        <v>308117.40999999997</v>
      </c>
      <c r="G34" s="6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1.95" customHeight="1" x14ac:dyDescent="0.45">
      <c r="A35" s="5"/>
      <c r="B35" s="19">
        <v>46030</v>
      </c>
      <c r="C35" s="23" t="s">
        <v>35</v>
      </c>
      <c r="D35" s="7"/>
      <c r="E35" s="28">
        <v>642</v>
      </c>
      <c r="F35" s="7">
        <f t="shared" si="0"/>
        <v>307475.40999999997</v>
      </c>
      <c r="G35" s="6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1.95" customHeight="1" x14ac:dyDescent="0.45">
      <c r="A36" s="5"/>
      <c r="B36" s="19">
        <v>46030</v>
      </c>
      <c r="C36" s="23" t="s">
        <v>35</v>
      </c>
      <c r="D36" s="7"/>
      <c r="E36" s="29">
        <v>470.8</v>
      </c>
      <c r="F36" s="7">
        <f t="shared" si="0"/>
        <v>307004.61</v>
      </c>
      <c r="G36" s="6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1.95" customHeight="1" x14ac:dyDescent="0.45">
      <c r="A37" s="5"/>
      <c r="B37" s="19">
        <v>46030</v>
      </c>
      <c r="C37" s="23" t="s">
        <v>35</v>
      </c>
      <c r="D37" s="7"/>
      <c r="E37" s="28">
        <v>214</v>
      </c>
      <c r="F37" s="7">
        <f t="shared" si="0"/>
        <v>306790.61</v>
      </c>
      <c r="G37" s="6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1.95" customHeight="1" x14ac:dyDescent="0.45">
      <c r="A38" s="5"/>
      <c r="B38" s="19">
        <v>46030</v>
      </c>
      <c r="C38" s="23" t="s">
        <v>36</v>
      </c>
      <c r="D38" s="7"/>
      <c r="E38" s="28">
        <v>1027.2</v>
      </c>
      <c r="F38" s="7">
        <f t="shared" si="0"/>
        <v>305763.40999999997</v>
      </c>
      <c r="G38" s="6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1.95" customHeight="1" x14ac:dyDescent="0.45">
      <c r="A39" s="5"/>
      <c r="B39" s="19">
        <v>46030</v>
      </c>
      <c r="C39" s="23" t="s">
        <v>37</v>
      </c>
      <c r="D39" s="7"/>
      <c r="E39" s="28">
        <v>1356</v>
      </c>
      <c r="F39" s="7">
        <f t="shared" si="0"/>
        <v>304407.40999999997</v>
      </c>
      <c r="G39" s="6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1.95" customHeight="1" x14ac:dyDescent="0.45">
      <c r="A40" s="5"/>
      <c r="B40" s="19">
        <v>46030</v>
      </c>
      <c r="C40" s="23" t="s">
        <v>25</v>
      </c>
      <c r="D40" s="7"/>
      <c r="E40" s="28">
        <v>856</v>
      </c>
      <c r="F40" s="7">
        <f t="shared" si="0"/>
        <v>303551.40999999997</v>
      </c>
      <c r="G40" s="6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1.95" customHeight="1" x14ac:dyDescent="0.25">
      <c r="A41" s="14"/>
      <c r="B41" s="32" t="s">
        <v>2</v>
      </c>
      <c r="C41" s="33"/>
      <c r="D41" s="15">
        <f>SUM(D5:D40)</f>
        <v>365953</v>
      </c>
      <c r="E41" s="15">
        <f>SUM(E5:E40)</f>
        <v>136980.63</v>
      </c>
      <c r="F41" s="15">
        <f>+F4+D41-E41</f>
        <v>303551.40999999997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21.95" customHeight="1" x14ac:dyDescent="0.25">
      <c r="A42" s="16"/>
      <c r="B42" s="20"/>
      <c r="C42" s="16"/>
      <c r="D42" s="17"/>
      <c r="E42" s="17"/>
      <c r="F42" s="17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1.95" customHeight="1" x14ac:dyDescent="0.45">
      <c r="A43" s="5"/>
      <c r="B43" s="21"/>
      <c r="C43" s="5"/>
      <c r="D43" s="11"/>
      <c r="E43" s="11"/>
      <c r="F43" s="11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1.95" customHeight="1" x14ac:dyDescent="0.45">
      <c r="A44" s="5"/>
      <c r="B44" s="21"/>
      <c r="C44" s="5"/>
      <c r="D44" s="11"/>
      <c r="E44" s="11"/>
      <c r="F44" s="11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1.95" customHeight="1" x14ac:dyDescent="0.45">
      <c r="A45" s="5"/>
      <c r="B45" s="21"/>
      <c r="C45" s="5"/>
      <c r="D45" s="11"/>
      <c r="E45" s="11"/>
      <c r="F45" s="11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1.95" customHeight="1" x14ac:dyDescent="0.45">
      <c r="A46" s="5"/>
      <c r="B46" s="21"/>
      <c r="C46" s="5"/>
      <c r="D46" s="11"/>
      <c r="E46" s="11"/>
      <c r="F46" s="11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1.95" customHeight="1" x14ac:dyDescent="0.45">
      <c r="A47" s="5"/>
      <c r="B47" s="21"/>
      <c r="C47" s="5"/>
      <c r="D47" s="11"/>
      <c r="E47" s="11"/>
      <c r="F47" s="11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1.95" customHeight="1" x14ac:dyDescent="0.45">
      <c r="A48" s="5"/>
      <c r="B48" s="21"/>
      <c r="C48" s="5"/>
      <c r="D48" s="11"/>
      <c r="E48" s="11"/>
      <c r="F48" s="11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1.95" customHeight="1" x14ac:dyDescent="0.45">
      <c r="A49" s="5"/>
      <c r="B49" s="21"/>
      <c r="C49" s="5"/>
      <c r="D49" s="11"/>
      <c r="E49" s="11"/>
      <c r="F49" s="11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1.95" customHeight="1" x14ac:dyDescent="0.45">
      <c r="A50" s="5"/>
      <c r="B50" s="21"/>
      <c r="C50" s="5"/>
      <c r="D50" s="11"/>
      <c r="E50" s="11"/>
      <c r="F50" s="11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1.95" customHeight="1" x14ac:dyDescent="0.45">
      <c r="A51" s="5"/>
      <c r="B51" s="21"/>
      <c r="C51" s="5"/>
      <c r="D51" s="11"/>
      <c r="E51" s="11"/>
      <c r="F51" s="11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1.95" customHeight="1" x14ac:dyDescent="0.45">
      <c r="A52" s="5"/>
      <c r="B52" s="21"/>
      <c r="C52" s="5"/>
      <c r="D52" s="11"/>
      <c r="E52" s="11"/>
      <c r="F52" s="11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1.95" customHeight="1" x14ac:dyDescent="0.45">
      <c r="A53" s="5"/>
      <c r="B53" s="21"/>
      <c r="C53" s="5"/>
      <c r="D53" s="11"/>
      <c r="E53" s="11"/>
      <c r="F53" s="11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1.95" customHeight="1" x14ac:dyDescent="0.45">
      <c r="A54" s="5"/>
      <c r="B54" s="21"/>
      <c r="C54" s="5"/>
      <c r="D54" s="11"/>
      <c r="E54" s="11"/>
      <c r="F54" s="11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1.95" customHeight="1" x14ac:dyDescent="0.45">
      <c r="A55" s="5"/>
      <c r="B55" s="21"/>
      <c r="C55" s="5"/>
      <c r="D55" s="11"/>
      <c r="E55" s="11"/>
      <c r="F55" s="11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.95" customHeight="1" x14ac:dyDescent="0.45">
      <c r="A56" s="5"/>
      <c r="B56" s="21"/>
      <c r="C56" s="5"/>
      <c r="D56" s="11"/>
      <c r="E56" s="11"/>
      <c r="F56" s="11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1.95" customHeight="1" x14ac:dyDescent="0.45">
      <c r="A57" s="5"/>
      <c r="B57" s="21"/>
      <c r="C57" s="5"/>
      <c r="D57" s="11"/>
      <c r="E57" s="11"/>
      <c r="F57" s="11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1.95" customHeight="1" x14ac:dyDescent="0.45">
      <c r="A58" s="5"/>
      <c r="B58" s="21"/>
      <c r="C58" s="5"/>
      <c r="D58" s="11"/>
      <c r="E58" s="11"/>
      <c r="F58" s="11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1.95" customHeight="1" x14ac:dyDescent="0.45">
      <c r="A59" s="5"/>
      <c r="B59" s="21"/>
      <c r="C59" s="5"/>
      <c r="D59" s="11"/>
      <c r="E59" s="11"/>
      <c r="F59" s="11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1.95" customHeight="1" x14ac:dyDescent="0.45">
      <c r="A60" s="5"/>
      <c r="B60" s="21"/>
      <c r="C60" s="5"/>
      <c r="D60" s="11"/>
      <c r="E60" s="11"/>
      <c r="F60" s="11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1.95" customHeight="1" x14ac:dyDescent="0.45">
      <c r="A61" s="5"/>
      <c r="B61" s="21"/>
      <c r="C61" s="5"/>
      <c r="D61" s="11"/>
      <c r="E61" s="11"/>
      <c r="F61" s="11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1.95" customHeight="1" x14ac:dyDescent="0.45">
      <c r="A62" s="5"/>
      <c r="B62" s="21"/>
      <c r="C62" s="5"/>
      <c r="D62" s="11"/>
      <c r="E62" s="11"/>
      <c r="F62" s="11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1.95" customHeight="1" x14ac:dyDescent="0.45">
      <c r="A63" s="5"/>
      <c r="B63" s="21"/>
      <c r="C63" s="5"/>
      <c r="D63" s="11"/>
      <c r="E63" s="11"/>
      <c r="F63" s="11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1.95" customHeight="1" x14ac:dyDescent="0.45">
      <c r="A64" s="5"/>
      <c r="B64" s="21"/>
      <c r="C64" s="5"/>
      <c r="D64" s="11"/>
      <c r="E64" s="11"/>
      <c r="F64" s="11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95" customHeight="1" x14ac:dyDescent="0.45">
      <c r="A65" s="5"/>
      <c r="B65" s="21"/>
      <c r="C65" s="5"/>
      <c r="D65" s="11"/>
      <c r="E65" s="11"/>
      <c r="F65" s="11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1.95" customHeight="1" x14ac:dyDescent="0.45">
      <c r="A66" s="5"/>
      <c r="B66" s="21"/>
      <c r="C66" s="5"/>
      <c r="D66" s="11"/>
      <c r="E66" s="11"/>
      <c r="F66" s="11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1.95" customHeight="1" x14ac:dyDescent="0.45">
      <c r="A67" s="5"/>
      <c r="B67" s="21"/>
      <c r="C67" s="5"/>
      <c r="D67" s="11"/>
      <c r="E67" s="11"/>
      <c r="F67" s="11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1.95" customHeight="1" x14ac:dyDescent="0.45">
      <c r="A68" s="5"/>
      <c r="B68" s="21"/>
      <c r="C68" s="5"/>
      <c r="D68" s="11"/>
      <c r="E68" s="11"/>
      <c r="F68" s="11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1.95" customHeight="1" x14ac:dyDescent="0.45">
      <c r="A69" s="5"/>
      <c r="B69" s="21"/>
      <c r="C69" s="5"/>
      <c r="D69" s="11"/>
      <c r="E69" s="11"/>
      <c r="F69" s="11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1.95" customHeight="1" x14ac:dyDescent="0.45">
      <c r="A70" s="5"/>
      <c r="B70" s="21"/>
      <c r="C70" s="5"/>
      <c r="D70" s="11"/>
      <c r="E70" s="11"/>
      <c r="F70" s="11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1.95" customHeight="1" x14ac:dyDescent="0.45">
      <c r="A71" s="5"/>
      <c r="B71" s="21"/>
      <c r="C71" s="5"/>
      <c r="D71" s="11"/>
      <c r="E71" s="11"/>
      <c r="F71" s="11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1.95" customHeight="1" x14ac:dyDescent="0.45">
      <c r="A72" s="5"/>
      <c r="B72" s="21"/>
      <c r="C72" s="5"/>
      <c r="D72" s="11"/>
      <c r="E72" s="11"/>
      <c r="F72" s="11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1.95" customHeight="1" x14ac:dyDescent="0.45">
      <c r="A73" s="5"/>
      <c r="B73" s="21"/>
      <c r="C73" s="5"/>
      <c r="D73" s="11"/>
      <c r="E73" s="11"/>
      <c r="F73" s="11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1.95" customHeight="1" x14ac:dyDescent="0.45">
      <c r="A74" s="5"/>
      <c r="B74" s="21"/>
      <c r="C74" s="5"/>
      <c r="D74" s="11"/>
      <c r="E74" s="11"/>
      <c r="F74" s="11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1.95" customHeight="1" x14ac:dyDescent="0.45">
      <c r="A75" s="5"/>
      <c r="B75" s="21"/>
      <c r="C75" s="5"/>
      <c r="D75" s="11"/>
      <c r="E75" s="11"/>
      <c r="F75" s="11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1.95" customHeight="1" x14ac:dyDescent="0.45">
      <c r="A76" s="5"/>
      <c r="B76" s="21"/>
      <c r="C76" s="5"/>
      <c r="D76" s="11"/>
      <c r="E76" s="11"/>
      <c r="F76" s="11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1.95" customHeight="1" x14ac:dyDescent="0.45">
      <c r="A77" s="5"/>
      <c r="B77" s="21"/>
      <c r="C77" s="5"/>
      <c r="D77" s="11"/>
      <c r="E77" s="11"/>
      <c r="F77" s="11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1.95" customHeight="1" x14ac:dyDescent="0.45">
      <c r="A78" s="5"/>
      <c r="B78" s="21"/>
      <c r="C78" s="5"/>
      <c r="D78" s="11"/>
      <c r="E78" s="11"/>
      <c r="F78" s="11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1.95" customHeight="1" x14ac:dyDescent="0.45">
      <c r="A79" s="5"/>
      <c r="B79" s="21"/>
      <c r="C79" s="5"/>
      <c r="D79" s="11"/>
      <c r="E79" s="11"/>
      <c r="F79" s="11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1.95" customHeight="1" x14ac:dyDescent="0.45">
      <c r="A80" s="5"/>
      <c r="B80" s="21"/>
      <c r="C80" s="5"/>
      <c r="D80" s="11"/>
      <c r="E80" s="11"/>
      <c r="F80" s="11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1.95" customHeight="1" x14ac:dyDescent="0.45">
      <c r="A81" s="5"/>
      <c r="B81" s="21"/>
      <c r="C81" s="5"/>
      <c r="D81" s="11"/>
      <c r="E81" s="11"/>
      <c r="F81" s="11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1.95" customHeight="1" x14ac:dyDescent="0.45">
      <c r="A82" s="5"/>
      <c r="B82" s="21"/>
      <c r="C82" s="5"/>
      <c r="D82" s="11"/>
      <c r="E82" s="11"/>
      <c r="F82" s="11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1.95" customHeight="1" x14ac:dyDescent="0.45">
      <c r="A83" s="5"/>
      <c r="B83" s="21"/>
      <c r="C83" s="5"/>
      <c r="D83" s="11"/>
      <c r="E83" s="11"/>
      <c r="F83" s="11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1.95" customHeight="1" x14ac:dyDescent="0.45">
      <c r="A84" s="5"/>
      <c r="B84" s="21"/>
      <c r="C84" s="5"/>
      <c r="D84" s="11"/>
      <c r="E84" s="11"/>
      <c r="F84" s="11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1.95" customHeight="1" x14ac:dyDescent="0.45">
      <c r="A85" s="5"/>
      <c r="B85" s="21"/>
      <c r="C85" s="5"/>
      <c r="D85" s="11"/>
      <c r="E85" s="11"/>
      <c r="F85" s="11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1.95" customHeight="1" x14ac:dyDescent="0.45">
      <c r="A86" s="5"/>
      <c r="B86" s="21"/>
      <c r="C86" s="5"/>
      <c r="D86" s="11"/>
      <c r="E86" s="11"/>
      <c r="F86" s="11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1.95" customHeight="1" x14ac:dyDescent="0.45">
      <c r="A87" s="5"/>
      <c r="B87" s="21"/>
      <c r="C87" s="5"/>
      <c r="D87" s="11"/>
      <c r="E87" s="11"/>
      <c r="F87" s="11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1.95" customHeight="1" x14ac:dyDescent="0.45">
      <c r="A88" s="5"/>
      <c r="B88" s="21"/>
      <c r="C88" s="5"/>
      <c r="D88" s="11"/>
      <c r="E88" s="11"/>
      <c r="F88" s="11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1.95" customHeight="1" x14ac:dyDescent="0.45">
      <c r="A89" s="5"/>
      <c r="B89" s="21"/>
      <c r="C89" s="5"/>
      <c r="D89" s="11"/>
      <c r="E89" s="11"/>
      <c r="F89" s="11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1.95" customHeight="1" x14ac:dyDescent="0.45">
      <c r="A90" s="5"/>
      <c r="B90" s="21"/>
      <c r="C90" s="5"/>
      <c r="D90" s="11"/>
      <c r="E90" s="11"/>
      <c r="F90" s="11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1.95" customHeight="1" x14ac:dyDescent="0.45">
      <c r="A91" s="5"/>
      <c r="B91" s="21"/>
      <c r="C91" s="5"/>
      <c r="D91" s="11"/>
      <c r="E91" s="11"/>
      <c r="F91" s="11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1.95" customHeight="1" x14ac:dyDescent="0.45">
      <c r="A92" s="5"/>
      <c r="B92" s="21"/>
      <c r="C92" s="5"/>
      <c r="D92" s="11"/>
      <c r="E92" s="11"/>
      <c r="F92" s="11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1.95" customHeight="1" x14ac:dyDescent="0.45">
      <c r="A93" s="5"/>
      <c r="B93" s="21"/>
      <c r="C93" s="5"/>
      <c r="D93" s="11"/>
      <c r="E93" s="11"/>
      <c r="F93" s="11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1.95" customHeight="1" x14ac:dyDescent="0.45">
      <c r="A94" s="5"/>
      <c r="B94" s="21"/>
      <c r="C94" s="5"/>
      <c r="D94" s="11"/>
      <c r="E94" s="11"/>
      <c r="F94" s="11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1.95" customHeight="1" x14ac:dyDescent="0.45">
      <c r="A95" s="5"/>
      <c r="B95" s="21"/>
      <c r="C95" s="5"/>
      <c r="D95" s="11"/>
      <c r="E95" s="11"/>
      <c r="F95" s="11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1.95" customHeight="1" x14ac:dyDescent="0.45">
      <c r="A96" s="5"/>
      <c r="B96" s="21"/>
      <c r="C96" s="5"/>
      <c r="D96" s="11"/>
      <c r="E96" s="11"/>
      <c r="F96" s="11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1.95" customHeight="1" x14ac:dyDescent="0.45">
      <c r="A97" s="5"/>
      <c r="B97" s="21"/>
      <c r="C97" s="5"/>
      <c r="D97" s="11"/>
      <c r="E97" s="11"/>
      <c r="F97" s="11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1.95" customHeight="1" x14ac:dyDescent="0.45">
      <c r="A98" s="5"/>
      <c r="B98" s="21"/>
      <c r="C98" s="5"/>
      <c r="D98" s="11"/>
      <c r="E98" s="11"/>
      <c r="F98" s="11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1.95" customHeight="1" x14ac:dyDescent="0.45">
      <c r="A99" s="5"/>
      <c r="B99" s="21"/>
      <c r="C99" s="5"/>
      <c r="D99" s="11"/>
      <c r="E99" s="11"/>
      <c r="F99" s="11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1.95" customHeight="1" x14ac:dyDescent="0.45">
      <c r="A100" s="5"/>
      <c r="B100" s="21"/>
      <c r="C100" s="5"/>
      <c r="D100" s="11"/>
      <c r="E100" s="11"/>
      <c r="F100" s="11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1.95" customHeight="1" x14ac:dyDescent="0.45">
      <c r="A101" s="5"/>
      <c r="B101" s="21"/>
      <c r="C101" s="5"/>
      <c r="D101" s="11"/>
      <c r="E101" s="11"/>
      <c r="F101" s="11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1.95" customHeight="1" x14ac:dyDescent="0.45">
      <c r="A102" s="5"/>
      <c r="B102" s="21"/>
      <c r="C102" s="5"/>
      <c r="D102" s="11"/>
      <c r="E102" s="11"/>
      <c r="F102" s="11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1.95" customHeight="1" x14ac:dyDescent="0.45">
      <c r="A103" s="5"/>
      <c r="B103" s="21"/>
      <c r="C103" s="5"/>
      <c r="D103" s="11"/>
      <c r="E103" s="11"/>
      <c r="F103" s="11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1.95" customHeight="1" x14ac:dyDescent="0.45">
      <c r="A104" s="5"/>
      <c r="B104" s="21"/>
      <c r="C104" s="5"/>
      <c r="D104" s="11"/>
      <c r="E104" s="11"/>
      <c r="F104" s="11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1.95" customHeight="1" x14ac:dyDescent="0.45">
      <c r="A105" s="5"/>
      <c r="B105" s="21"/>
      <c r="C105" s="5"/>
      <c r="D105" s="11"/>
      <c r="E105" s="11"/>
      <c r="F105" s="11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1.95" customHeight="1" x14ac:dyDescent="0.45">
      <c r="A106" s="5"/>
      <c r="B106" s="21"/>
      <c r="C106" s="5"/>
      <c r="D106" s="11"/>
      <c r="E106" s="11"/>
      <c r="F106" s="11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1.95" customHeight="1" x14ac:dyDescent="0.45">
      <c r="A107" s="5"/>
      <c r="B107" s="21"/>
      <c r="C107" s="5"/>
      <c r="D107" s="11"/>
      <c r="E107" s="11"/>
      <c r="F107" s="11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1.95" customHeight="1" x14ac:dyDescent="0.45">
      <c r="A108" s="5"/>
      <c r="B108" s="21"/>
      <c r="C108" s="5"/>
      <c r="D108" s="11"/>
      <c r="E108" s="11"/>
      <c r="F108" s="11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1.95" customHeight="1" x14ac:dyDescent="0.45">
      <c r="A109" s="5"/>
      <c r="B109" s="21"/>
      <c r="C109" s="5"/>
      <c r="D109" s="11"/>
      <c r="E109" s="11"/>
      <c r="F109" s="11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1.95" customHeight="1" x14ac:dyDescent="0.45">
      <c r="A110" s="5"/>
      <c r="B110" s="21"/>
      <c r="C110" s="5"/>
      <c r="D110" s="11"/>
      <c r="E110" s="11"/>
      <c r="F110" s="11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1.95" customHeight="1" x14ac:dyDescent="0.45">
      <c r="A111" s="5"/>
      <c r="B111" s="21"/>
      <c r="C111" s="5"/>
      <c r="D111" s="11"/>
      <c r="E111" s="11"/>
      <c r="F111" s="11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1.95" customHeight="1" x14ac:dyDescent="0.45">
      <c r="A112" s="5"/>
      <c r="B112" s="21"/>
      <c r="C112" s="5"/>
      <c r="D112" s="11"/>
      <c r="E112" s="11"/>
      <c r="F112" s="11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1.95" customHeight="1" x14ac:dyDescent="0.45">
      <c r="A113" s="5"/>
      <c r="B113" s="21"/>
      <c r="C113" s="5"/>
      <c r="D113" s="11"/>
      <c r="E113" s="11"/>
      <c r="F113" s="11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1.95" customHeight="1" x14ac:dyDescent="0.45">
      <c r="A114" s="5"/>
      <c r="B114" s="21"/>
      <c r="C114" s="5"/>
      <c r="D114" s="11"/>
      <c r="E114" s="11"/>
      <c r="F114" s="11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1.95" customHeight="1" x14ac:dyDescent="0.45">
      <c r="A115" s="5"/>
      <c r="B115" s="21"/>
      <c r="C115" s="5"/>
      <c r="D115" s="11"/>
      <c r="E115" s="11"/>
      <c r="F115" s="11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1.95" customHeight="1" x14ac:dyDescent="0.45">
      <c r="A116" s="5"/>
      <c r="B116" s="21"/>
      <c r="C116" s="5"/>
      <c r="D116" s="11"/>
      <c r="E116" s="11"/>
      <c r="F116" s="11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1.95" customHeight="1" x14ac:dyDescent="0.45">
      <c r="A117" s="5"/>
      <c r="B117" s="21"/>
      <c r="C117" s="5"/>
      <c r="D117" s="11"/>
      <c r="E117" s="11"/>
      <c r="F117" s="11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1.95" customHeight="1" x14ac:dyDescent="0.45">
      <c r="A118" s="5"/>
      <c r="B118" s="21"/>
      <c r="C118" s="5"/>
      <c r="D118" s="11"/>
      <c r="E118" s="11"/>
      <c r="F118" s="11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1.95" customHeight="1" x14ac:dyDescent="0.45">
      <c r="A119" s="5"/>
      <c r="B119" s="21"/>
      <c r="C119" s="5"/>
      <c r="D119" s="11"/>
      <c r="E119" s="11"/>
      <c r="F119" s="11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1.95" customHeight="1" x14ac:dyDescent="0.45">
      <c r="A120" s="5"/>
      <c r="B120" s="21"/>
      <c r="C120" s="5"/>
      <c r="D120" s="11"/>
      <c r="E120" s="11"/>
      <c r="F120" s="11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1.95" customHeight="1" x14ac:dyDescent="0.45">
      <c r="A121" s="5"/>
      <c r="B121" s="21"/>
      <c r="C121" s="5"/>
      <c r="D121" s="11"/>
      <c r="E121" s="11"/>
      <c r="F121" s="11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1.95" customHeight="1" x14ac:dyDescent="0.45">
      <c r="A122" s="5"/>
      <c r="B122" s="21"/>
      <c r="C122" s="5"/>
      <c r="D122" s="11"/>
      <c r="E122" s="11"/>
      <c r="F122" s="11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1.95" customHeight="1" x14ac:dyDescent="0.45">
      <c r="A123" s="5"/>
      <c r="B123" s="21"/>
      <c r="C123" s="5"/>
      <c r="D123" s="11"/>
      <c r="E123" s="11"/>
      <c r="F123" s="11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1.95" customHeight="1" x14ac:dyDescent="0.45">
      <c r="A124" s="5"/>
      <c r="B124" s="21"/>
      <c r="C124" s="5"/>
      <c r="D124" s="11"/>
      <c r="E124" s="11"/>
      <c r="F124" s="11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1.95" customHeight="1" x14ac:dyDescent="0.45">
      <c r="A125" s="5"/>
      <c r="B125" s="21"/>
      <c r="C125" s="5"/>
      <c r="D125" s="11"/>
      <c r="E125" s="11"/>
      <c r="F125" s="11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1.95" customHeight="1" x14ac:dyDescent="0.45">
      <c r="A126" s="5"/>
      <c r="B126" s="21"/>
      <c r="C126" s="5"/>
      <c r="D126" s="11"/>
      <c r="E126" s="11"/>
      <c r="F126" s="11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1.95" customHeight="1" x14ac:dyDescent="0.45">
      <c r="A127" s="5"/>
      <c r="B127" s="21"/>
      <c r="C127" s="5"/>
      <c r="D127" s="11"/>
      <c r="E127" s="11"/>
      <c r="F127" s="11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1.95" customHeight="1" x14ac:dyDescent="0.45">
      <c r="A128" s="5"/>
      <c r="B128" s="21"/>
      <c r="C128" s="5"/>
      <c r="D128" s="11"/>
      <c r="E128" s="11"/>
      <c r="F128" s="11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1.95" customHeight="1" x14ac:dyDescent="0.45">
      <c r="A129" s="5"/>
      <c r="B129" s="21"/>
      <c r="C129" s="5"/>
      <c r="D129" s="11"/>
      <c r="E129" s="11"/>
      <c r="F129" s="11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1.95" customHeight="1" x14ac:dyDescent="0.45">
      <c r="A130" s="5"/>
      <c r="B130" s="21"/>
      <c r="C130" s="5"/>
      <c r="D130" s="11"/>
      <c r="E130" s="11"/>
      <c r="F130" s="11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1.95" customHeight="1" x14ac:dyDescent="0.45">
      <c r="A131" s="5"/>
      <c r="B131" s="21"/>
      <c r="C131" s="5"/>
      <c r="D131" s="11"/>
      <c r="E131" s="11"/>
      <c r="F131" s="11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1.95" customHeight="1" x14ac:dyDescent="0.45">
      <c r="A132" s="5"/>
      <c r="B132" s="21"/>
      <c r="C132" s="5"/>
      <c r="D132" s="11"/>
      <c r="E132" s="11"/>
      <c r="F132" s="11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1.95" customHeight="1" x14ac:dyDescent="0.45">
      <c r="A133" s="5"/>
      <c r="B133" s="21"/>
      <c r="C133" s="5"/>
      <c r="D133" s="11"/>
      <c r="E133" s="11"/>
      <c r="F133" s="11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1.95" customHeight="1" x14ac:dyDescent="0.45">
      <c r="A134" s="5"/>
      <c r="B134" s="21"/>
      <c r="C134" s="5"/>
      <c r="D134" s="11"/>
      <c r="E134" s="11"/>
      <c r="F134" s="11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1.95" customHeight="1" x14ac:dyDescent="0.45">
      <c r="A135" s="5"/>
      <c r="B135" s="21"/>
      <c r="C135" s="5"/>
      <c r="D135" s="11"/>
      <c r="E135" s="11"/>
      <c r="F135" s="11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1.95" customHeight="1" x14ac:dyDescent="0.45">
      <c r="A136" s="5"/>
      <c r="B136" s="21"/>
      <c r="C136" s="5"/>
      <c r="D136" s="11"/>
      <c r="E136" s="11"/>
      <c r="F136" s="11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1.95" customHeight="1" x14ac:dyDescent="0.45">
      <c r="A137" s="5"/>
      <c r="B137" s="21"/>
      <c r="C137" s="5"/>
      <c r="D137" s="11"/>
      <c r="E137" s="11"/>
      <c r="F137" s="11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1.95" customHeight="1" x14ac:dyDescent="0.45">
      <c r="A138" s="5"/>
      <c r="B138" s="21"/>
      <c r="C138" s="5"/>
      <c r="D138" s="11"/>
      <c r="E138" s="11"/>
      <c r="F138" s="11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1.95" customHeight="1" x14ac:dyDescent="0.45">
      <c r="A139" s="5"/>
      <c r="B139" s="21"/>
      <c r="C139" s="5"/>
      <c r="D139" s="11"/>
      <c r="E139" s="11"/>
      <c r="F139" s="11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1.95" customHeight="1" x14ac:dyDescent="0.45">
      <c r="A140" s="5"/>
      <c r="B140" s="21"/>
      <c r="C140" s="5"/>
      <c r="D140" s="11"/>
      <c r="E140" s="11"/>
      <c r="F140" s="11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1.95" customHeight="1" x14ac:dyDescent="0.45">
      <c r="A141" s="5"/>
      <c r="B141" s="21"/>
      <c r="C141" s="5"/>
      <c r="D141" s="11"/>
      <c r="E141" s="11"/>
      <c r="F141" s="11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1.95" customHeight="1" x14ac:dyDescent="0.45">
      <c r="A142" s="5"/>
      <c r="B142" s="21"/>
      <c r="C142" s="5"/>
      <c r="D142" s="11"/>
      <c r="E142" s="11"/>
      <c r="F142" s="11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1.95" customHeight="1" x14ac:dyDescent="0.45">
      <c r="A143" s="5"/>
      <c r="B143" s="21"/>
      <c r="C143" s="5"/>
      <c r="D143" s="11"/>
      <c r="E143" s="11"/>
      <c r="F143" s="11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1.95" customHeight="1" x14ac:dyDescent="0.45">
      <c r="A144" s="5"/>
      <c r="B144" s="21"/>
      <c r="C144" s="5"/>
      <c r="D144" s="11"/>
      <c r="E144" s="11"/>
      <c r="F144" s="11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1.95" customHeight="1" x14ac:dyDescent="0.45">
      <c r="A145" s="5"/>
      <c r="B145" s="21"/>
      <c r="C145" s="5"/>
      <c r="D145" s="11"/>
      <c r="E145" s="11"/>
      <c r="F145" s="11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1.95" customHeight="1" x14ac:dyDescent="0.45">
      <c r="A146" s="5"/>
      <c r="B146" s="21"/>
      <c r="C146" s="5"/>
      <c r="D146" s="11"/>
      <c r="E146" s="11"/>
      <c r="F146" s="11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1.95" customHeight="1" x14ac:dyDescent="0.45">
      <c r="A147" s="5"/>
      <c r="B147" s="21"/>
      <c r="C147" s="5"/>
      <c r="D147" s="11"/>
      <c r="E147" s="11"/>
      <c r="F147" s="11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1.95" customHeight="1" x14ac:dyDescent="0.45">
      <c r="A148" s="5"/>
      <c r="B148" s="21"/>
      <c r="C148" s="5"/>
      <c r="D148" s="11"/>
      <c r="E148" s="11"/>
      <c r="F148" s="11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1.95" customHeight="1" x14ac:dyDescent="0.45">
      <c r="A149" s="5"/>
      <c r="B149" s="21"/>
      <c r="C149" s="5"/>
      <c r="D149" s="11"/>
      <c r="E149" s="11"/>
      <c r="F149" s="11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1.95" customHeight="1" x14ac:dyDescent="0.45">
      <c r="A150" s="5"/>
      <c r="B150" s="21"/>
      <c r="C150" s="5"/>
      <c r="D150" s="11"/>
      <c r="E150" s="11"/>
      <c r="F150" s="11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1.95" customHeight="1" x14ac:dyDescent="0.45">
      <c r="A151" s="5"/>
      <c r="B151" s="21"/>
      <c r="C151" s="5"/>
      <c r="D151" s="11"/>
      <c r="E151" s="11"/>
      <c r="F151" s="11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1.95" customHeight="1" x14ac:dyDescent="0.45">
      <c r="A152" s="5"/>
      <c r="B152" s="21"/>
      <c r="C152" s="5"/>
      <c r="D152" s="11"/>
      <c r="E152" s="11"/>
      <c r="F152" s="11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1.95" customHeight="1" x14ac:dyDescent="0.45">
      <c r="A153" s="5"/>
      <c r="B153" s="21"/>
      <c r="C153" s="5"/>
      <c r="D153" s="11"/>
      <c r="E153" s="11"/>
      <c r="F153" s="11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1.95" customHeight="1" x14ac:dyDescent="0.45">
      <c r="A154" s="5"/>
      <c r="B154" s="21"/>
      <c r="C154" s="5"/>
      <c r="D154" s="11"/>
      <c r="E154" s="11"/>
      <c r="F154" s="11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1.95" customHeight="1" x14ac:dyDescent="0.45">
      <c r="A155" s="5"/>
      <c r="B155" s="21"/>
      <c r="C155" s="5"/>
      <c r="D155" s="11"/>
      <c r="E155" s="11"/>
      <c r="F155" s="11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1.95" customHeight="1" x14ac:dyDescent="0.45">
      <c r="A156" s="5"/>
      <c r="B156" s="21"/>
      <c r="C156" s="5"/>
      <c r="D156" s="11"/>
      <c r="E156" s="11"/>
      <c r="F156" s="11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1.95" customHeight="1" x14ac:dyDescent="0.45">
      <c r="A157" s="5"/>
      <c r="B157" s="21"/>
      <c r="C157" s="5"/>
      <c r="D157" s="11"/>
      <c r="E157" s="11"/>
      <c r="F157" s="11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1.95" customHeight="1" x14ac:dyDescent="0.45">
      <c r="A158" s="5"/>
      <c r="B158" s="21"/>
      <c r="C158" s="5"/>
      <c r="D158" s="11"/>
      <c r="E158" s="11"/>
      <c r="F158" s="11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1.95" customHeight="1" x14ac:dyDescent="0.45">
      <c r="A159" s="5"/>
      <c r="B159" s="21"/>
      <c r="C159" s="5"/>
      <c r="D159" s="11"/>
      <c r="E159" s="11"/>
      <c r="F159" s="11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1.95" customHeight="1" x14ac:dyDescent="0.45">
      <c r="A160" s="5"/>
      <c r="B160" s="21"/>
      <c r="C160" s="5"/>
      <c r="D160" s="11"/>
      <c r="E160" s="11"/>
      <c r="F160" s="11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1.95" customHeight="1" x14ac:dyDescent="0.45">
      <c r="A161" s="5"/>
      <c r="B161" s="21"/>
      <c r="C161" s="5"/>
      <c r="D161" s="11"/>
      <c r="E161" s="11"/>
      <c r="F161" s="11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1.95" customHeight="1" x14ac:dyDescent="0.45">
      <c r="A162" s="5"/>
      <c r="B162" s="21"/>
      <c r="C162" s="5"/>
      <c r="D162" s="11"/>
      <c r="E162" s="11"/>
      <c r="F162" s="11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1.95" customHeight="1" x14ac:dyDescent="0.45">
      <c r="A163" s="5"/>
      <c r="B163" s="21"/>
      <c r="C163" s="5"/>
      <c r="D163" s="11"/>
      <c r="E163" s="11"/>
      <c r="F163" s="11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1.95" customHeight="1" x14ac:dyDescent="0.45">
      <c r="A164" s="5"/>
      <c r="B164" s="21"/>
      <c r="C164" s="5"/>
      <c r="D164" s="11"/>
      <c r="E164" s="11"/>
      <c r="F164" s="11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1.95" customHeight="1" x14ac:dyDescent="0.45">
      <c r="A165" s="5"/>
      <c r="B165" s="21"/>
      <c r="C165" s="5"/>
      <c r="D165" s="11"/>
      <c r="E165" s="11"/>
      <c r="F165" s="11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1.95" customHeight="1" x14ac:dyDescent="0.45">
      <c r="A166" s="5"/>
      <c r="B166" s="21"/>
      <c r="C166" s="5"/>
      <c r="D166" s="11"/>
      <c r="E166" s="11"/>
      <c r="F166" s="11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1.95" customHeight="1" x14ac:dyDescent="0.45">
      <c r="A167" s="5"/>
      <c r="B167" s="21"/>
      <c r="C167" s="5"/>
      <c r="D167" s="11"/>
      <c r="E167" s="11"/>
      <c r="F167" s="11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1.95" customHeight="1" x14ac:dyDescent="0.45">
      <c r="A168" s="5"/>
      <c r="B168" s="21"/>
      <c r="C168" s="5"/>
      <c r="D168" s="11"/>
      <c r="E168" s="11"/>
      <c r="F168" s="11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1.95" customHeight="1" x14ac:dyDescent="0.45">
      <c r="A169" s="5"/>
      <c r="B169" s="21"/>
      <c r="C169" s="5"/>
      <c r="D169" s="11"/>
      <c r="E169" s="11"/>
      <c r="F169" s="11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1.95" customHeight="1" x14ac:dyDescent="0.45">
      <c r="A170" s="5"/>
      <c r="B170" s="21"/>
      <c r="C170" s="5"/>
      <c r="D170" s="11"/>
      <c r="E170" s="11"/>
      <c r="F170" s="11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1.95" customHeight="1" x14ac:dyDescent="0.45">
      <c r="A171" s="5"/>
      <c r="B171" s="21"/>
      <c r="C171" s="5"/>
      <c r="D171" s="11"/>
      <c r="E171" s="11"/>
      <c r="F171" s="11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1.95" customHeight="1" x14ac:dyDescent="0.45">
      <c r="A172" s="5"/>
      <c r="B172" s="21"/>
      <c r="C172" s="5"/>
      <c r="D172" s="11"/>
      <c r="E172" s="11"/>
      <c r="F172" s="11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1.95" customHeight="1" x14ac:dyDescent="0.45">
      <c r="A173" s="5"/>
      <c r="B173" s="21"/>
      <c r="C173" s="5"/>
      <c r="D173" s="11"/>
      <c r="E173" s="11"/>
      <c r="F173" s="11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1.95" customHeight="1" x14ac:dyDescent="0.45">
      <c r="A174" s="5"/>
      <c r="B174" s="21"/>
      <c r="C174" s="5"/>
      <c r="D174" s="11"/>
      <c r="E174" s="11"/>
      <c r="F174" s="11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1.95" customHeight="1" x14ac:dyDescent="0.45">
      <c r="A175" s="5"/>
      <c r="B175" s="21"/>
      <c r="C175" s="5"/>
      <c r="D175" s="11"/>
      <c r="E175" s="11"/>
      <c r="F175" s="11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1.95" customHeight="1" x14ac:dyDescent="0.45">
      <c r="A176" s="5"/>
      <c r="B176" s="21"/>
      <c r="C176" s="5"/>
      <c r="D176" s="11"/>
      <c r="E176" s="11"/>
      <c r="F176" s="11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1.95" customHeight="1" x14ac:dyDescent="0.45">
      <c r="A177" s="5"/>
      <c r="B177" s="21"/>
      <c r="C177" s="5"/>
      <c r="D177" s="11"/>
      <c r="E177" s="11"/>
      <c r="F177" s="11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1.95" customHeight="1" x14ac:dyDescent="0.45">
      <c r="A178" s="5"/>
      <c r="B178" s="21"/>
      <c r="C178" s="5"/>
      <c r="D178" s="11"/>
      <c r="E178" s="11"/>
      <c r="F178" s="11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1.95" customHeight="1" x14ac:dyDescent="0.45">
      <c r="A179" s="5"/>
      <c r="B179" s="21"/>
      <c r="C179" s="5"/>
      <c r="D179" s="11"/>
      <c r="E179" s="11"/>
      <c r="F179" s="11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1.95" customHeight="1" x14ac:dyDescent="0.45">
      <c r="A180" s="5"/>
      <c r="B180" s="21"/>
      <c r="C180" s="5"/>
      <c r="D180" s="11"/>
      <c r="E180" s="11"/>
      <c r="F180" s="11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1.95" customHeight="1" x14ac:dyDescent="0.45">
      <c r="A181" s="5"/>
      <c r="B181" s="21"/>
      <c r="C181" s="5"/>
      <c r="D181" s="11"/>
      <c r="E181" s="11"/>
      <c r="F181" s="11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1.95" customHeight="1" x14ac:dyDescent="0.45">
      <c r="A182" s="5"/>
      <c r="B182" s="21"/>
      <c r="C182" s="5"/>
      <c r="D182" s="11"/>
      <c r="E182" s="11"/>
      <c r="F182" s="11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1.95" customHeight="1" x14ac:dyDescent="0.45">
      <c r="A183" s="5"/>
      <c r="B183" s="21"/>
      <c r="C183" s="5"/>
      <c r="D183" s="11"/>
      <c r="E183" s="11"/>
      <c r="F183" s="11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1.95" customHeight="1" x14ac:dyDescent="0.45">
      <c r="A184" s="5"/>
      <c r="B184" s="21"/>
      <c r="C184" s="5"/>
      <c r="D184" s="11"/>
      <c r="E184" s="11"/>
      <c r="F184" s="11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1.95" customHeight="1" x14ac:dyDescent="0.45">
      <c r="A185" s="5"/>
      <c r="B185" s="21"/>
      <c r="C185" s="5"/>
      <c r="D185" s="11"/>
      <c r="E185" s="11"/>
      <c r="F185" s="11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1.95" customHeight="1" x14ac:dyDescent="0.45">
      <c r="A186" s="5"/>
      <c r="B186" s="21"/>
      <c r="C186" s="5"/>
      <c r="D186" s="11"/>
      <c r="E186" s="11"/>
      <c r="F186" s="11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1.95" customHeight="1" x14ac:dyDescent="0.45">
      <c r="A187" s="5"/>
      <c r="B187" s="21"/>
      <c r="C187" s="5"/>
      <c r="D187" s="11"/>
      <c r="E187" s="11"/>
      <c r="F187" s="11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1.95" customHeight="1" x14ac:dyDescent="0.45">
      <c r="A188" s="5"/>
      <c r="B188" s="21"/>
      <c r="C188" s="5"/>
      <c r="D188" s="11"/>
      <c r="E188" s="11"/>
      <c r="F188" s="11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1.95" customHeight="1" x14ac:dyDescent="0.45">
      <c r="A189" s="5"/>
      <c r="B189" s="21"/>
      <c r="C189" s="5"/>
      <c r="D189" s="11"/>
      <c r="E189" s="11"/>
      <c r="F189" s="11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1.95" customHeight="1" x14ac:dyDescent="0.45">
      <c r="A190" s="5"/>
      <c r="B190" s="21"/>
      <c r="C190" s="5"/>
      <c r="D190" s="11"/>
      <c r="E190" s="11"/>
      <c r="F190" s="11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1.95" customHeight="1" x14ac:dyDescent="0.45">
      <c r="A191" s="5"/>
      <c r="B191" s="21"/>
      <c r="C191" s="5"/>
      <c r="D191" s="11"/>
      <c r="E191" s="11"/>
      <c r="F191" s="11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1.95" customHeight="1" x14ac:dyDescent="0.45">
      <c r="A192" s="5"/>
      <c r="B192" s="21"/>
      <c r="C192" s="5"/>
      <c r="D192" s="11"/>
      <c r="E192" s="11"/>
      <c r="F192" s="11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1.95" customHeight="1" x14ac:dyDescent="0.45">
      <c r="A193" s="5"/>
      <c r="B193" s="21"/>
      <c r="C193" s="5"/>
      <c r="D193" s="11"/>
      <c r="E193" s="11"/>
      <c r="F193" s="11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1.95" customHeight="1" x14ac:dyDescent="0.45">
      <c r="A194" s="5"/>
      <c r="B194" s="21"/>
      <c r="C194" s="5"/>
      <c r="D194" s="11"/>
      <c r="E194" s="11"/>
      <c r="F194" s="11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1.95" customHeight="1" x14ac:dyDescent="0.45">
      <c r="A195" s="5"/>
      <c r="B195" s="21"/>
      <c r="C195" s="5"/>
      <c r="D195" s="11"/>
      <c r="E195" s="11"/>
      <c r="F195" s="11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1.95" customHeight="1" x14ac:dyDescent="0.45">
      <c r="A196" s="5"/>
      <c r="B196" s="21"/>
      <c r="C196" s="5"/>
      <c r="D196" s="11"/>
      <c r="E196" s="11"/>
      <c r="F196" s="11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1.95" customHeight="1" x14ac:dyDescent="0.45">
      <c r="A197" s="5"/>
      <c r="B197" s="21"/>
      <c r="C197" s="5"/>
      <c r="D197" s="11"/>
      <c r="E197" s="11"/>
      <c r="F197" s="11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1.95" customHeight="1" x14ac:dyDescent="0.45">
      <c r="A198" s="5"/>
      <c r="B198" s="21"/>
      <c r="C198" s="5"/>
      <c r="D198" s="11"/>
      <c r="E198" s="11"/>
      <c r="F198" s="11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1.95" customHeight="1" x14ac:dyDescent="0.45">
      <c r="A199" s="5"/>
      <c r="B199" s="21"/>
      <c r="C199" s="5"/>
      <c r="D199" s="11"/>
      <c r="E199" s="11"/>
      <c r="F199" s="11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1.95" customHeight="1" x14ac:dyDescent="0.45">
      <c r="A200" s="5"/>
      <c r="B200" s="21"/>
      <c r="C200" s="5"/>
      <c r="D200" s="11"/>
      <c r="E200" s="11"/>
      <c r="F200" s="11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1.95" customHeight="1" x14ac:dyDescent="0.45">
      <c r="A201" s="5"/>
      <c r="B201" s="21"/>
      <c r="C201" s="5"/>
      <c r="D201" s="11"/>
      <c r="E201" s="11"/>
      <c r="F201" s="11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1.95" customHeight="1" x14ac:dyDescent="0.45">
      <c r="A202" s="5"/>
      <c r="B202" s="21"/>
      <c r="C202" s="5"/>
      <c r="D202" s="11"/>
      <c r="E202" s="11"/>
      <c r="F202" s="11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1.95" customHeight="1" x14ac:dyDescent="0.45">
      <c r="A203" s="5"/>
      <c r="B203" s="21"/>
      <c r="C203" s="5"/>
      <c r="D203" s="11"/>
      <c r="E203" s="11"/>
      <c r="F203" s="11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1.95" customHeight="1" x14ac:dyDescent="0.45">
      <c r="A204" s="5"/>
      <c r="B204" s="21"/>
      <c r="C204" s="5"/>
      <c r="D204" s="11"/>
      <c r="E204" s="11"/>
      <c r="F204" s="11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1.95" customHeight="1" x14ac:dyDescent="0.45">
      <c r="A205" s="5"/>
      <c r="B205" s="21"/>
      <c r="C205" s="5"/>
      <c r="D205" s="11"/>
      <c r="E205" s="11"/>
      <c r="F205" s="11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1.95" customHeight="1" x14ac:dyDescent="0.45">
      <c r="A206" s="5"/>
      <c r="B206" s="21"/>
      <c r="C206" s="5"/>
      <c r="D206" s="11"/>
      <c r="E206" s="11"/>
      <c r="F206" s="11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1.95" customHeight="1" x14ac:dyDescent="0.45">
      <c r="A207" s="5"/>
      <c r="B207" s="21"/>
      <c r="C207" s="5"/>
      <c r="D207" s="11"/>
      <c r="E207" s="11"/>
      <c r="F207" s="11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1.95" customHeight="1" x14ac:dyDescent="0.45">
      <c r="A208" s="5"/>
      <c r="B208" s="21"/>
      <c r="C208" s="5"/>
      <c r="D208" s="11"/>
      <c r="E208" s="11"/>
      <c r="F208" s="11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1.95" customHeight="1" x14ac:dyDescent="0.45">
      <c r="A209" s="5"/>
      <c r="B209" s="21"/>
      <c r="C209" s="5"/>
      <c r="D209" s="11"/>
      <c r="E209" s="11"/>
      <c r="F209" s="11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1.95" customHeight="1" x14ac:dyDescent="0.45">
      <c r="A210" s="5"/>
      <c r="B210" s="21"/>
      <c r="C210" s="5"/>
      <c r="D210" s="11"/>
      <c r="E210" s="11"/>
      <c r="F210" s="11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1.95" customHeight="1" x14ac:dyDescent="0.45">
      <c r="A211" s="5"/>
      <c r="B211" s="21"/>
      <c r="C211" s="5"/>
      <c r="D211" s="11"/>
      <c r="E211" s="11"/>
      <c r="F211" s="11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1.95" customHeight="1" x14ac:dyDescent="0.45">
      <c r="A212" s="5"/>
      <c r="B212" s="21"/>
      <c r="C212" s="5"/>
      <c r="D212" s="11"/>
      <c r="E212" s="11"/>
      <c r="F212" s="11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1.95" customHeight="1" x14ac:dyDescent="0.45">
      <c r="A213" s="5"/>
      <c r="B213" s="21"/>
      <c r="C213" s="5"/>
      <c r="D213" s="11"/>
      <c r="E213" s="11"/>
      <c r="F213" s="11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1.95" customHeight="1" x14ac:dyDescent="0.45">
      <c r="A214" s="5"/>
      <c r="B214" s="21"/>
      <c r="C214" s="5"/>
      <c r="D214" s="11"/>
      <c r="E214" s="11"/>
      <c r="F214" s="11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1.95" customHeight="1" x14ac:dyDescent="0.45">
      <c r="A215" s="5"/>
      <c r="B215" s="21"/>
      <c r="C215" s="5"/>
      <c r="D215" s="11"/>
      <c r="E215" s="11"/>
      <c r="F215" s="11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1.95" customHeight="1" x14ac:dyDescent="0.45">
      <c r="A216" s="5"/>
      <c r="B216" s="21"/>
      <c r="C216" s="5"/>
      <c r="D216" s="11"/>
      <c r="E216" s="11"/>
      <c r="F216" s="11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1.95" customHeight="1" x14ac:dyDescent="0.45">
      <c r="A217" s="5"/>
      <c r="B217" s="21"/>
      <c r="C217" s="5"/>
      <c r="D217" s="11"/>
      <c r="E217" s="11"/>
      <c r="F217" s="11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1.95" customHeight="1" x14ac:dyDescent="0.45">
      <c r="A218" s="5"/>
      <c r="B218" s="21"/>
      <c r="C218" s="5"/>
      <c r="D218" s="11"/>
      <c r="E218" s="11"/>
      <c r="F218" s="11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1.95" customHeight="1" x14ac:dyDescent="0.45">
      <c r="A219" s="5"/>
      <c r="B219" s="21"/>
      <c r="C219" s="5"/>
      <c r="D219" s="11"/>
      <c r="E219" s="11"/>
      <c r="F219" s="11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1.95" customHeight="1" x14ac:dyDescent="0.45">
      <c r="A220" s="5"/>
      <c r="B220" s="21"/>
      <c r="C220" s="5"/>
      <c r="D220" s="11"/>
      <c r="E220" s="11"/>
      <c r="F220" s="11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1.95" customHeight="1" x14ac:dyDescent="0.45">
      <c r="A221" s="5"/>
      <c r="B221" s="21"/>
      <c r="C221" s="5"/>
      <c r="D221" s="11"/>
      <c r="E221" s="11"/>
      <c r="F221" s="11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1.95" customHeight="1" x14ac:dyDescent="0.45">
      <c r="A222" s="5"/>
      <c r="B222" s="21"/>
      <c r="C222" s="5"/>
      <c r="D222" s="11"/>
      <c r="E222" s="11"/>
      <c r="F222" s="11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1.95" customHeight="1" x14ac:dyDescent="0.45">
      <c r="A223" s="5"/>
      <c r="B223" s="21"/>
      <c r="C223" s="5"/>
      <c r="D223" s="11"/>
      <c r="E223" s="11"/>
      <c r="F223" s="11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1.95" customHeight="1" x14ac:dyDescent="0.45">
      <c r="A224" s="5"/>
      <c r="B224" s="21"/>
      <c r="C224" s="5"/>
      <c r="D224" s="11"/>
      <c r="E224" s="11"/>
      <c r="F224" s="11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1.95" customHeight="1" x14ac:dyDescent="0.45">
      <c r="A225" s="5"/>
      <c r="B225" s="21"/>
      <c r="C225" s="5"/>
      <c r="D225" s="11"/>
      <c r="E225" s="11"/>
      <c r="F225" s="11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1.95" customHeight="1" x14ac:dyDescent="0.45">
      <c r="A226" s="5"/>
      <c r="B226" s="21"/>
      <c r="C226" s="5"/>
      <c r="D226" s="11"/>
      <c r="E226" s="11"/>
      <c r="F226" s="11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1.95" customHeight="1" x14ac:dyDescent="0.45">
      <c r="A227" s="5"/>
      <c r="B227" s="21"/>
      <c r="C227" s="5"/>
      <c r="D227" s="11"/>
      <c r="E227" s="11"/>
      <c r="F227" s="11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1.95" customHeight="1" x14ac:dyDescent="0.45">
      <c r="A228" s="5"/>
      <c r="B228" s="21"/>
      <c r="C228" s="5"/>
      <c r="D228" s="11"/>
      <c r="E228" s="11"/>
      <c r="F228" s="11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1.95" customHeight="1" x14ac:dyDescent="0.45">
      <c r="A229" s="5"/>
      <c r="B229" s="21"/>
      <c r="C229" s="5"/>
      <c r="D229" s="11"/>
      <c r="E229" s="11"/>
      <c r="F229" s="11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1.95" customHeight="1" x14ac:dyDescent="0.45">
      <c r="A230" s="5"/>
      <c r="B230" s="21"/>
      <c r="C230" s="5"/>
      <c r="D230" s="11"/>
      <c r="E230" s="11"/>
      <c r="F230" s="11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1.95" customHeight="1" x14ac:dyDescent="0.45">
      <c r="A231" s="5"/>
      <c r="B231" s="21"/>
      <c r="C231" s="5"/>
      <c r="D231" s="11"/>
      <c r="E231" s="11"/>
      <c r="F231" s="11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1.95" customHeight="1" x14ac:dyDescent="0.45">
      <c r="A232" s="5"/>
      <c r="B232" s="21"/>
      <c r="C232" s="5"/>
      <c r="D232" s="11"/>
      <c r="E232" s="11"/>
      <c r="F232" s="11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1.95" customHeight="1" x14ac:dyDescent="0.45">
      <c r="A233" s="5"/>
      <c r="B233" s="21"/>
      <c r="C233" s="5"/>
      <c r="D233" s="11"/>
      <c r="E233" s="11"/>
      <c r="F233" s="11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1.95" customHeight="1" x14ac:dyDescent="0.45">
      <c r="A234" s="5"/>
      <c r="B234" s="21"/>
      <c r="C234" s="5"/>
      <c r="D234" s="11"/>
      <c r="E234" s="11"/>
      <c r="F234" s="11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1.95" customHeight="1" x14ac:dyDescent="0.45">
      <c r="A235" s="5"/>
      <c r="B235" s="21"/>
      <c r="C235" s="5"/>
      <c r="D235" s="11"/>
      <c r="E235" s="11"/>
      <c r="F235" s="11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1.95" customHeight="1" x14ac:dyDescent="0.45">
      <c r="A236" s="5"/>
      <c r="B236" s="21"/>
      <c r="C236" s="5"/>
      <c r="D236" s="11"/>
      <c r="E236" s="11"/>
      <c r="F236" s="11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1.95" customHeight="1" x14ac:dyDescent="0.45">
      <c r="A237" s="5"/>
      <c r="B237" s="21"/>
      <c r="C237" s="5"/>
      <c r="D237" s="11"/>
      <c r="E237" s="11"/>
      <c r="F237" s="11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1.95" customHeight="1" x14ac:dyDescent="0.45">
      <c r="A238" s="5"/>
      <c r="B238" s="21"/>
      <c r="C238" s="5"/>
      <c r="D238" s="11"/>
      <c r="E238" s="11"/>
      <c r="F238" s="11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8" customHeight="1" x14ac:dyDescent="0.45">
      <c r="A239" s="5"/>
      <c r="B239" s="21"/>
      <c r="C239" s="5"/>
      <c r="D239" s="11"/>
      <c r="E239" s="11"/>
      <c r="F239" s="11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3">
    <mergeCell ref="B1:G1"/>
    <mergeCell ref="B2:G2"/>
    <mergeCell ref="B41:C41"/>
  </mergeCells>
  <pageMargins left="0.7" right="0.7" top="0.75" bottom="0.75" header="0" footer="0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nonthakorn kwanthong</dc:creator>
  <cp:lastModifiedBy>nonthakorn kwanthong</cp:lastModifiedBy>
  <dcterms:created xsi:type="dcterms:W3CDTF">2025-01-07T01:18:26Z</dcterms:created>
  <dcterms:modified xsi:type="dcterms:W3CDTF">2026-01-12T04:27:00Z</dcterms:modified>
</cp:coreProperties>
</file>